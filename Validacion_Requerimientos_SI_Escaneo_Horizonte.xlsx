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.DESKTOP-GNI9FEO\Downloads\"/>
    </mc:Choice>
  </mc:AlternateContent>
  <xr:revisionPtr revIDLastSave="0" documentId="13_ncr:1_{3E964429-D302-4E12-B0C7-7A0BCAE2DB28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instrucciones" sheetId="1" r:id="rId1"/>
    <sheet name="requerimientos" sheetId="2" r:id="rId2"/>
    <sheet name="no_funcionales" sheetId="3" r:id="rId3"/>
    <sheet name="resumen" sheetId="4" r:id="rId4"/>
    <sheet name="control de cambios" sheetId="5" r:id="rId5"/>
  </sheets>
  <definedNames>
    <definedName name="_xlnm._FilterDatabase" localSheetId="2" hidden="1">no_funcionales!$A$4:$M$16</definedName>
    <definedName name="_xlnm._FilterDatabase" localSheetId="1" hidden="1">requerimientos!$A$4:$M$31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4" l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4" i="4"/>
  <c r="C8" i="4"/>
  <c r="B8" i="4"/>
  <c r="C7" i="4"/>
  <c r="B7" i="4"/>
  <c r="C6" i="4"/>
  <c r="B6" i="4"/>
  <c r="C5" i="4"/>
  <c r="B5" i="4"/>
  <c r="D7" i="4" l="1"/>
  <c r="D8" i="4"/>
  <c r="C9" i="4"/>
  <c r="D6" i="4"/>
  <c r="E19" i="4"/>
  <c r="E23" i="4"/>
  <c r="E20" i="4"/>
  <c r="E21" i="4"/>
  <c r="E22" i="4"/>
  <c r="E18" i="4"/>
  <c r="B9" i="4"/>
  <c r="D5" i="4"/>
  <c r="D13" i="4" l="1"/>
  <c r="D12" i="4"/>
  <c r="E12" i="4" s="1"/>
  <c r="D9" i="4"/>
  <c r="E9" i="4" l="1"/>
  <c r="E7" i="4"/>
  <c r="E8" i="4"/>
  <c r="E6" i="4"/>
  <c r="E5" i="4"/>
</calcChain>
</file>

<file path=xl/sharedStrings.xml><?xml version="1.0" encoding="utf-8"?>
<sst xmlns="http://schemas.openxmlformats.org/spreadsheetml/2006/main" count="433" uniqueCount="282">
  <si>
    <t>Validación de requerimientos del sistema de información de Escaneo de Horizonte</t>
  </si>
  <si>
    <t>Propósito</t>
  </si>
  <si>
    <t>Registrar el concepto del equipo técnico del IETS sobre cada requerimiento funcional y no funcional de la especificación oficial, como insumo de la segunda entrega del cronograma: requerimientos aprobados, con fecha 11 de septiembre de 2026.</t>
  </si>
  <si>
    <t>Documentos base</t>
  </si>
  <si>
    <t>Especificaciones-tecnicas-plataforma-EH_IETS_2026_V1.pdf (RF01 a RF20, matriz de criterios P1 a P6 y requerimientos no funcionales) y Cronograma_Desarrollo_SI_Escaneo_Horizonte.xlsx (79 días hábiles, nueve entregas).</t>
  </si>
  <si>
    <t>Quién diligencia</t>
  </si>
  <si>
    <t>La coordinación metodológica de Escaneo de Horizonte emite el concepto funcional; el líder técnico del componente de desarrollo emite el concepto de factibilidad. Cuando difieran, prima el registro de la observación sobre el acuerdo aparente.</t>
  </si>
  <si>
    <t>Hojas del libro</t>
  </si>
  <si>
    <t>requerimientos: los 20 RF más los 6 criterios de priorización. no_funcionales: los requerimientos no funcionales y transversales. resumen: conteos automáticos. control de cambios: versionamiento y firmas.</t>
  </si>
  <si>
    <t>Celdas de captura</t>
  </si>
  <si>
    <t>Las celdas con fondo amarillo son las únicas que se diligencian. El resto es información de contexto y no debe modificarse.</t>
  </si>
  <si>
    <t>Significado de cada concepto</t>
  </si>
  <si>
    <t>Viable</t>
  </si>
  <si>
    <t>El requerimiento se puede construir tal como está enunciado, dentro del alcance, el plazo y el equipo previstos en el cronograma. No requiere decisión adicional de negocio ni gestión externa.</t>
  </si>
  <si>
    <t>Inviable</t>
  </si>
  <si>
    <t>No se puede construir en este componente. Se marca así cuando depende de un dato, un permiso o una integración que no está disponible y no se puede resolver dentro del plazo, o cuando excede el alcance contratado. Exige justificación en observaciones.</t>
  </si>
  <si>
    <t>Replantear</t>
  </si>
  <si>
    <t>El objetivo del requerimiento es válido pero su enunciado actual no es implementable como está: hay ambigüedad, contradicción entre secciones de la especificación, o una ruta técnica distinta que lo cumple mejor. Exige propuesta concreta en observaciones.</t>
  </si>
  <si>
    <t>Observaciones</t>
  </si>
  <si>
    <t>Campo obligatorio para inviable y replantear; opcional para viable. Debe indicar el hecho que sustenta el concepto, no una opinión general.</t>
  </si>
  <si>
    <t>Advertencia sobre la columna de estado</t>
  </si>
  <si>
    <t>Lectura previa</t>
  </si>
  <si>
    <t>La columna «Estado en el prototipo» refleja lo que ya existe en la versión de trabajo del sistema. Es contexto, no un concepto emitido: que algo esté construido no lo hace viable para producción, y que no exista no lo hace inviable. El concepto se emite sobre el requerimiento de la especificación, no sobre el prototipo.</t>
  </si>
  <si>
    <t>Requerimientos funcionales y criterios de priorización: concepto de viabilidad</t>
  </si>
  <si>
    <t>Las columnas con fondo amarillo son las de captura. Concepto y observaciones son obligatorios para cada fila antes de la entrega de requerimientos aprobados.</t>
  </si>
  <si>
    <t>No</t>
  </si>
  <si>
    <t>Módulo</t>
  </si>
  <si>
    <t>ID</t>
  </si>
  <si>
    <t>Requerimiento</t>
  </si>
  <si>
    <t>Descripción y alcance según la especificación</t>
  </si>
  <si>
    <t>Entrega</t>
  </si>
  <si>
    <t>Actividad del cronograma</t>
  </si>
  <si>
    <t>Estado en el prototipo</t>
  </si>
  <si>
    <t>Prioridad</t>
  </si>
  <si>
    <t>Concepto</t>
  </si>
  <si>
    <t>Responsable del concepto</t>
  </si>
  <si>
    <t>Fecha</t>
  </si>
  <si>
    <t>M0</t>
  </si>
  <si>
    <t>RF01</t>
  </si>
  <si>
    <t>Conectores y tareas programadas hacia registros de ensayos clínicos (ClinicalTrials.gov, WHO ICTRP) filtrando fases II, III y IV, agencias regulatorias (FDA, EMA) y redes internacionales (EuroScan i-HTS). La especificación deja pendiente confirmar las fuentes y rutas.</t>
  </si>
  <si>
    <t>Sprint 2, actividad 30: motor de vigilancia automatizada</t>
  </si>
  <si>
    <t>Adaptadores clinicaltrials, fda, ema, pubmed y who_ictrp registrados; WHO ICTRP opera por lote</t>
  </si>
  <si>
    <t>RF02</t>
  </si>
  <si>
    <t>Captura reactiva mediante portal web de postulación</t>
  </si>
  <si>
    <t>Interfaz pública o con autenticación ligera para que sociedades científicas, pacientes, academia e industria postulen tecnologías. Campos obligatorios: nombre comercial y DCI, mecanismo, fabricante, indicación, fase, evidencia y declaración de conflicto de interés.</t>
  </si>
  <si>
    <t>Sprint 2, actividad 30</t>
  </si>
  <si>
    <t>Portal público operando con conflicto de interés bloqueante y cola de moderación; sin reCAPTCHA en producción</t>
  </si>
  <si>
    <t>RF03</t>
  </si>
  <si>
    <t>Repositorio de acopio preliminar (staging data lake)</t>
  </si>
  <si>
    <t>Persistencia de toda señal capturada con estado Capturada / No asignada y metadatos de auditoría: fecha y hora de captura, fuente de origen indicando canal proactivo o reactivo, y usuario o proceso que ejecutó la ingesta.</t>
  </si>
  <si>
    <t>Sprint 1, actividad 27 y sprint 2, actividad 31</t>
  </si>
  <si>
    <t>Tabla de crudos por conector e identificador externo; permite reprocesar sin volver a la fuente</t>
  </si>
  <si>
    <t>RF04</t>
  </si>
  <si>
    <t>Buzón de entrada y previsualización</t>
  </si>
  <si>
    <t>Bandeja donde el evaluador técnico visualiza, filtra por fecha o fuente y selecciona lotes de tecnologías acopiadas para transferirlas al ciclo formal.</t>
  </si>
  <si>
    <t>Sprint 2, actividad 31</t>
  </si>
  <si>
    <t>Filtro por canal, vista previa del crudo y transferencia por lotes</t>
  </si>
  <si>
    <t>M1</t>
  </si>
  <si>
    <t>RF05</t>
  </si>
  <si>
    <t>Parametrización del ciclo operativo</t>
  </si>
  <si>
    <t>Creación de ciclos con código, fecha de apertura, fecha de corte de datos, fecha proyectada de boletín y cinco estados. Regla de tres ciclos al año con ventana de 10 a 16 semanas, conforme a la sección 10 del manual.</t>
  </si>
  <si>
    <t>Sprint 1, actividad 25: núcleo del backend</t>
  </si>
  <si>
    <t>Implementado con validación de la regla de negocio y máquina de estados</t>
  </si>
  <si>
    <t>RF06</t>
  </si>
  <si>
    <t>Taxonomía oficial de los seis clústeres de salud</t>
  </si>
  <si>
    <t>Tipificación obligatoria en cáncer, alto costo, huérfanas o raras, Covid-19 e infecciosas emergentes, prevalentes y otras prioritarias. La especificación advierte que puede variar según referenciación.</t>
  </si>
  <si>
    <t>Sprint 1, actividad 25</t>
  </si>
  <si>
    <t>Catálogo parametrizable con sugerencia asistida por CIE-10 y MeSH</t>
  </si>
  <si>
    <t>RF07</t>
  </si>
  <si>
    <t>Clasificación por las siete tipologías tecnológicas</t>
  </si>
  <si>
    <t>Medicamento químico o biológico, terapias avanzadas y génicas, dispositivos médicos, diagnóstico in vitro, procedimientos quirúrgicos, salud digital y algoritmos de inteligencia artificial.</t>
  </si>
  <si>
    <t>Catálogo parametrizable con mapeo de los cuatro tipos heredados</t>
  </si>
  <si>
    <t>RF08</t>
  </si>
  <si>
    <t>Asignación y arrastre de señales al ciclo activo</t>
  </si>
  <si>
    <t>Selección de tecnologías del repositorio de acopio y asociación formal al ciclo, con su clúster y tipología, cambiando el estado a Asignada a ciclo.</t>
  </si>
  <si>
    <t>Sprint 1, actividad 27</t>
  </si>
  <si>
    <t>Transferencia por lotes desde la bandeja, auditada</t>
  </si>
  <si>
    <t>M2</t>
  </si>
  <si>
    <t>RF09</t>
  </si>
  <si>
    <t>Motor algorítmico de desduplicación inteligente</t>
  </si>
  <si>
    <t>Identificación y fusión de registros idénticos de múltiples fuentes comparando nombre comercial, DCI, número de ensayo clínico y fabricante, con matching difuso y umbral de similitud del 85 por ciento.</t>
  </si>
  <si>
    <t>Sprint 3, actividad 39: criterios de filtrado</t>
  </si>
  <si>
    <t>Motor difuso operando; la fusión siempre la confirma un evaluador</t>
  </si>
  <si>
    <t>RF10</t>
  </si>
  <si>
    <t>Criterio de novedad e innovación</t>
  </si>
  <si>
    <t>Lista de verificación de cuatro vías: nueva entidad química o biológica, nueva indicación relevante, dispositivo de clase de riesgo alta o disruptivo, algoritmo de inteligencia artificial con nuevo soporte diagnóstico. Las modificaciones menores se catalogan como excluidas.</t>
  </si>
  <si>
    <t>Sprint 3, actividad 39</t>
  </si>
  <si>
    <t>Catálogo de vías editable sin desplegar</t>
  </si>
  <si>
    <t>RF11</t>
  </si>
  <si>
    <t>Verificación regulatoria ante INVIMA</t>
  </si>
  <si>
    <t>Contraste del principio activo o dispositivo contra los registros sanitarios vigentes del INVIMA y contra los conceptos de la sala especializada. Solo se acepta como emergente si no cuenta con registro, o si se trata de indicación nueva, forma farmacéutica disruptiva o combinación.</t>
  </si>
  <si>
    <t>Índice local con sincronización desde datos abiertos y contingencia por archivo plano; el cruce por principio activo sigue degradado</t>
  </si>
  <si>
    <t>RF12</t>
  </si>
  <si>
    <t>Consolidación del Listado Único depurado</t>
  </si>
  <si>
    <t>Salida consolidada por clúster. Lo que supera el filtro avanza en estado Filtrada / Apta para priorización; lo descartado pasa a Excluida con registro obligatorio del motivo.</t>
  </si>
  <si>
    <t>Listado por clúster con exportación</t>
  </si>
  <si>
    <t>M3</t>
  </si>
  <si>
    <t>P1</t>
  </si>
  <si>
    <t>Criterio 1: la tecnología es nueva en el país</t>
  </si>
  <si>
    <t>¿La tecnología sanitaria es nueva, es decir, no se encuentra disponible en el país? Califica el evaluador técnico. Valor binario.</t>
  </si>
  <si>
    <t>Calificación con permiso por criterio y pre-llenado sugerido</t>
  </si>
  <si>
    <t>P2</t>
  </si>
  <si>
    <t>Criterio 2: relevancia de la condición</t>
  </si>
  <si>
    <t>¿La condición a la que se destina es relevante por alta mortalidad, morbilidad o deterioro grave de la calidad de vida? Califica el evaluador clínico.</t>
  </si>
  <si>
    <t>Calificación con permiso por criterio</t>
  </si>
  <si>
    <t>P3</t>
  </si>
  <si>
    <t>Criterio 3: carga de enfermedad o impacto financiero</t>
  </si>
  <si>
    <t>¿La condición representa alta carga de enfermedad o impacto financiero sustancial para el SGSSS? Califica el evaluador clínico.</t>
  </si>
  <si>
    <t>P4</t>
  </si>
  <si>
    <t>Criterio 4: impacto organizacional</t>
  </si>
  <si>
    <t>¿Se anticipa un impacto organizacional importante, por cambio de ruta clínica, infraestructura o entrenamiento complejo? La especificación asigna este criterio al evaluador clínico en las tablas 2 y 3, y al farmacéutico o biomédico en la guía técnica 3.4.2.</t>
  </si>
  <si>
    <t>Permiso propio, hoy asignado al evaluador clínico</t>
  </si>
  <si>
    <t>P5</t>
  </si>
  <si>
    <t>Criterio 5: aprobación reciente en agencia de referencia</t>
  </si>
  <si>
    <t>¿Ha sido aprobada por EMA o FDA en los últimos 12 meses o menos? Califica el evaluador técnico; puede pre-llenarse con la fecha de aprobación.</t>
  </si>
  <si>
    <t>Calificación con pre-llenado sugerido desde la fecha de aprobación</t>
  </si>
  <si>
    <t>P6</t>
  </si>
  <si>
    <t>Criterio 6: trámite regulatorio en curso</t>
  </si>
  <si>
    <t>¿Está sometida o bajo proceso formal de evaluación regulatoria en agencias de referencia, en 6 meses o menos? Califica el evaluador técnico.</t>
  </si>
  <si>
    <t>Calificación con pre-llenado sugerido</t>
  </si>
  <si>
    <t>%P</t>
  </si>
  <si>
    <t>Cálculo del índice de priorización y umbrales</t>
  </si>
  <si>
    <t>%P igual a la suma de los seis criterios sobre seis por cien. La especificación define a la vez el umbral de 70 por ciento y el rango de 4 a 6 puntos para PRIORIZADA, y cuatro puntos equivalen a 66,67 por ciento: las dos reglas no pueden convivir. Incluye bajo vigilancia con reevaluación automática en el ciclo siguiente y congelación de puntajes al cerrar.</t>
  </si>
  <si>
    <t>Implementado por conteo de puntos, con umbrales parametrizados y arrastre automático entre ciclos</t>
  </si>
  <si>
    <t>M4</t>
  </si>
  <si>
    <t>RF13</t>
  </si>
  <si>
    <t>Editor estructurado de fichas de tecnologías emergentes</t>
  </si>
  <si>
    <t>Formulario con resumen de la condición, mecanismo biológico o tecnológico, población objetivo en Colombia, estado del arte de la evidencia, comparadores en el SGSSS y riesgos de adopción.</t>
  </si>
  <si>
    <t>Sprint 3, actividad 40: fichas técnicas</t>
  </si>
  <si>
    <t>Tres niveles de producto documental; editor estructurado, sin editor enriquecido</t>
  </si>
  <si>
    <t>RF14</t>
  </si>
  <si>
    <t>Editor de informes en profundidad (Mini-HTA)</t>
  </si>
  <si>
    <t>Pregunta PICO estructurada, modelación preliminar del impacto presupuestario a uno a tres años y análisis de incertidumbre clínica. La especificación deja pendiente qué tecnologías lo ameritan y su ruta de activación según diálogos tempranos.</t>
  </si>
  <si>
    <t>Sprint 3, actividad 40 y sprint 4</t>
  </si>
  <si>
    <t>Nivel sugerido por puntaje, sobreescribible; criterio de activación aún abierto</t>
  </si>
  <si>
    <t>RF15</t>
  </si>
  <si>
    <t>Workflow de revisión por pares</t>
  </si>
  <si>
    <t>Seis estados editoriales: borrador, revisión interna de calidad, revisión externa por pares, con observaciones, aprobado por comité técnico y publicado en plataforma.</t>
  </si>
  <si>
    <t>Sprint 4</t>
  </si>
  <si>
    <t>Los seis estados operan y quedan auditados</t>
  </si>
  <si>
    <t>RF16</t>
  </si>
  <si>
    <t>Portal de revisores externos y conflicto de interés</t>
  </si>
  <si>
    <t>Credenciales temporales para expertos externos, acceso de solo lectura al informe asignado, formulario digital obligatorio de conflicto de interés y observaciones técnicas estructuradas.</t>
  </si>
  <si>
    <t>Token de 10 días sin cuenta; sin envío por correo institucional</t>
  </si>
  <si>
    <t>M5</t>
  </si>
  <si>
    <t>RF17</t>
  </si>
  <si>
    <t>Dashboard interactivo de gobernanza anticipatoria</t>
  </si>
  <si>
    <t>Filtros por clúster, tipología, fase clínica, nivel de priorización y rango de fechas. Cuatro visualizaciones obligatorias: distribución por clúster, dispersión de tiempo al mercado, mapa de calor de impacto presupuestal y embudo de conversión del ciclo.</t>
  </si>
  <si>
    <t>Sprint 4, actividad 43: tableros analíticos</t>
  </si>
  <si>
    <t>Tablero completo con capa pública y capa restringida; franjas de tiempo al mercado parametrizadas</t>
  </si>
  <si>
    <t>RF18</t>
  </si>
  <si>
    <t>Ficha pública e interfaz de consulta rápida</t>
  </si>
  <si>
    <t>Buscador avanzado para funcionarios del MSPS e INVIMA, con expediente completo, descarga de la ficha en PDF y visualización de los ensayos clínicos asociados.</t>
  </si>
  <si>
    <t>Sprint 4, actividad 43</t>
  </si>
  <si>
    <t>Expedientes publicados y no confidenciales, sin datos presupuestales; exportación en HTML institucional</t>
  </si>
  <si>
    <t>RF19</t>
  </si>
  <si>
    <t>Generador automatizado de boletines trimestrales</t>
  </si>
  <si>
    <t>Compilación automática del Boletín Epidemiológico y Financiero de Tecnologías Emergentes con maquetación ejecutiva para alta dirección.</t>
  </si>
  <si>
    <t>Sprint 4, actividad 44: boletines y reportes</t>
  </si>
  <si>
    <t>Se compila al cerrar el ciclo y queda pendiente de aprobación del líder; PDF nativo pendiente</t>
  </si>
  <si>
    <t>RF20</t>
  </si>
  <si>
    <t>Sistema de alertas tempranas</t>
  </si>
  <si>
    <t>Notificaciones configurables cuando una tecnología de alto riesgo presupuestal cambia de fase o cuando se detecta un nuevo ensayo fase III en el país.</t>
  </si>
  <si>
    <t>Sprint 4, actividad 46: tareas automáticas y notificaciones</t>
  </si>
  <si>
    <t>Alertas dentro de la plataforma; sin correo institucional</t>
  </si>
  <si>
    <t>Requerimientos no funcionales y transversales: concepto de viabilidad</t>
  </si>
  <si>
    <t>Categoría</t>
  </si>
  <si>
    <t>Trazabilidad</t>
  </si>
  <si>
    <t>RNF01</t>
  </si>
  <si>
    <t>Bitácora inmutable de auditoría</t>
  </si>
  <si>
    <t>Cada inserción, cambio de estado, modificación de puntaje o descarte genera un registro inmutable con identificador de usuario, dirección IP, fecha y hora UTC, valor anterior y valor nuevo. No puede ser modificado ni borrado por ningún usuario, incluido el administrador.</t>
  </si>
  <si>
    <t>Actividad 25 y actividad 51</t>
  </si>
  <si>
    <t>Bitácora append-only con listener y middleware</t>
  </si>
  <si>
    <t>Seguridad</t>
  </si>
  <si>
    <t>RNF02</t>
  </si>
  <si>
    <t>Control de acceso basado en roles de cinco perfiles</t>
  </si>
  <si>
    <t>SuperAdmin o líder, evaluador técnico, evaluador clínico, revisor por pares y tomador de decisiones, con permisos por módulo y a nivel de campo para los criterios P1 a P6.</t>
  </si>
  <si>
    <t>Actividad 19 y actividad 26</t>
  </si>
  <si>
    <t>Veinte permisos declarativos con granularidad por criterio</t>
  </si>
  <si>
    <t>RNF03</t>
  </si>
  <si>
    <t>Cifrado en tránsito y en reposo</t>
  </si>
  <si>
    <t>Comunicación bajo HTTPS con TLS 1.3 y certificados válidos. Datos sensibles, incluidas evaluaciones preliminares e información bajo acuerdo de confidencialidad con desarrolladores, cifrados en reposo con AES-256.</t>
  </si>
  <si>
    <t>Actividad 51: pruebas de seguridad y actividad 55</t>
  </si>
  <si>
    <t>Marca de confidencialidad por documento; cifrado en reposo pendiente del ambiente productivo</t>
  </si>
  <si>
    <t>Desempeño</t>
  </si>
  <si>
    <t>RNF04</t>
  </si>
  <si>
    <t>Disponibilidad mínima del 99,5 por ciento en horario laboral</t>
  </si>
  <si>
    <t>Arquitectura, respaldo y monitoreo que sostengan el nivel de servicio comprometido.</t>
  </si>
  <si>
    <t>Actividad 55 y actividad 61</t>
  </si>
  <si>
    <t>Pendiente: depende del ambiente institucional de despliegue</t>
  </si>
  <si>
    <t>RNF05</t>
  </si>
  <si>
    <t>Tiempo de respuesta bajo dos segundos en el percentil 95</t>
  </si>
  <si>
    <t>Las pantallas de consulta responden por debajo de dos segundos en el 95 por ciento de las peticiones.</t>
  </si>
  <si>
    <t>Actividad 51: pruebas de desempeño y carga</t>
  </si>
  <si>
    <t>Cumple en pruebas locales; margen estrecho en el índice regulatorio a escala completa</t>
  </si>
  <si>
    <t>Interoperabilidad</t>
  </si>
  <si>
    <t>RNF06</t>
  </si>
  <si>
    <t>Endpoints seguros con OAuth2 para cooperación internacional</t>
  </si>
  <si>
    <t>Interoperabilidad con EuroScan i-HTS, el Innovation Observatory del Reino Unido y CONETEC de Argentina.</t>
  </si>
  <si>
    <t>Actividad 58 y actividad 59</t>
  </si>
  <si>
    <t>Pendiente: requiere convenio institucional previo</t>
  </si>
  <si>
    <t>Arquitectura</t>
  </si>
  <si>
    <t>RNF07</t>
  </si>
  <si>
    <t>Base de datos relacional y documental</t>
  </si>
  <si>
    <t>PostgreSQL con JSONB para el crudo de ingesta y pgvector para recuperación semántica, más vistas materializadas para la analítica.</t>
  </si>
  <si>
    <t>Actividad 18: modelado de la base de datos</t>
  </si>
  <si>
    <t>Código agnóstico del motor; la migración a PostgreSQL no se ha ejecutado en producción</t>
  </si>
  <si>
    <t>RNF08</t>
  </si>
  <si>
    <t>Motor de tareas asíncronas</t>
  </si>
  <si>
    <t>La extracción de fuentes externas no bloquea el hilo de la aplicación web, con cola de trabajos, reintento exponencial y respeto de los límites de peticiones de cada fuente.</t>
  </si>
  <si>
    <t>Actividad 46: programación de tareas automáticas</t>
  </si>
  <si>
    <t>Cola con reanudación dentro del mismo proceso; sin cola externa</t>
  </si>
  <si>
    <t>Operación</t>
  </si>
  <si>
    <t>RNF09</t>
  </si>
  <si>
    <t>Contenerización y canalización de integración y despliegue continuo</t>
  </si>
  <si>
    <t>Empaquetado en contenedores y canalización con pruebas unitarias automatizadas para los algoritmos de priorización.</t>
  </si>
  <si>
    <t>Actividad 16 y actividad 21</t>
  </si>
  <si>
    <t>Pendiente: hoy no hay contenedores ni canalización</t>
  </si>
  <si>
    <t>RNF10</t>
  </si>
  <si>
    <t>Migraciones versionadas del esquema</t>
  </si>
  <si>
    <t>Control de versiones del esquema con posibilidad de reversión.</t>
  </si>
  <si>
    <t>Actividad 18</t>
  </si>
  <si>
    <t>Pendiente: hoy operan migraciones idempotentes sin versionar</t>
  </si>
  <si>
    <t>Documentación</t>
  </si>
  <si>
    <t>RNF11</t>
  </si>
  <si>
    <t>Documentación interactiva OpenAPI actualizada automáticamente</t>
  </si>
  <si>
    <t>Facilita la integración futura con otros sistemas del Ministerio de Salud o del INVIMA.</t>
  </si>
  <si>
    <t>Actividad 58: manual técnico</t>
  </si>
  <si>
    <t>Documentación generada por el marco de trabajo; falta publicarla formalmente</t>
  </si>
  <si>
    <t>RNF12</t>
  </si>
  <si>
    <t>Separación de ambientes y control del acceso de desarrollo</t>
  </si>
  <si>
    <t>Ambientes de desarrollo, pruebas y producción con secretos independientes, y desactivación del acceso rápido de administrador en el ambiente productivo.</t>
  </si>
  <si>
    <t>Actividad 21: configuración de ambientes</t>
  </si>
  <si>
    <t>Parcial: la bandera existe y el intento denegado queda en bitácora; falta el perfil de entorno</t>
  </si>
  <si>
    <t>Resumen del concepto emitido</t>
  </si>
  <si>
    <t>Los conteos se calculan solos a partir de las hojas de captura. No escriba en esta hoja.</t>
  </si>
  <si>
    <t>Funcionales y criterios</t>
  </si>
  <si>
    <t>No funcionales</t>
  </si>
  <si>
    <t>Total</t>
  </si>
  <si>
    <t>Participación sobre el total</t>
  </si>
  <si>
    <t>Sin concepto</t>
  </si>
  <si>
    <t>Avance de la revisión</t>
  </si>
  <si>
    <t>Requerimientos con concepto emitido</t>
  </si>
  <si>
    <t>Requerimientos que exigen justificación escrita (inviable o replantear)</t>
  </si>
  <si>
    <t>Observaciones faltantes en filas de inviable o replantear</t>
  </si>
  <si>
    <t>Conteo por módulo</t>
  </si>
  <si>
    <t>M0 ingesta · M1 ciclos y clústeres · M2 filtrado · M3 priorización · M4 evaluación y revisión por pares · M5 tableros y alertas</t>
  </si>
  <si>
    <t>TABLA DE CONTROL DE CAMBIOS</t>
  </si>
  <si>
    <t>VERSIÓN</t>
  </si>
  <si>
    <t>FECHA</t>
  </si>
  <si>
    <t>DESCRIPCIÓN DEL CAMBIO</t>
  </si>
  <si>
    <t>2026-09-03</t>
  </si>
  <si>
    <t>Versión inicial de la matriz de validación de requerimientos, construida sobre la especificación oficial y el cronograma del componente de desarrollo.</t>
  </si>
  <si>
    <t>ELABORÓ</t>
  </si>
  <si>
    <t>REVISÓ</t>
  </si>
  <si>
    <t>AVAL DE CALIDAD</t>
  </si>
  <si>
    <t>APROBÓ</t>
  </si>
  <si>
    <t>Nombre y Apellidos:</t>
  </si>
  <si>
    <t>Cargo y/o actividad:</t>
  </si>
  <si>
    <t>Líder técnico del componente de desarrollo</t>
  </si>
  <si>
    <t>Coordinación metodológica de Escaneo de Horizonte</t>
  </si>
  <si>
    <t>Jefe de gestión del riesgo, calidad y proyectos</t>
  </si>
  <si>
    <t>Directora Ejecutiva</t>
  </si>
  <si>
    <t>Fecha:</t>
  </si>
  <si>
    <t>Firmas:</t>
  </si>
  <si>
    <t>Captura proactiva automatizada por APIs y Webscraping y conectores</t>
  </si>
  <si>
    <t>Imprescindible</t>
  </si>
  <si>
    <t>En caso de que la arquitectura del sitio web sea compleja, tenga captcha, o cambie. Se debera tener en cuenta una opción de diligenciamiento manual.</t>
  </si>
  <si>
    <t>Deseable</t>
  </si>
  <si>
    <t>Viable como micrositio de consulta externa</t>
  </si>
  <si>
    <t>Necesario realizar una validación</t>
  </si>
  <si>
    <t>Importante</t>
  </si>
  <si>
    <t>Necesario realizar una validación, revisar validación de IA y UX/UI con base a parametros definidos</t>
  </si>
  <si>
    <t>Parametrización fija, o se le puden adicionar o cambiar</t>
  </si>
  <si>
    <t>Necesario ampliar la busqueda y configuración de OCR activo</t>
  </si>
  <si>
    <t>Revisarlo y validarlo (posiblidad de hacerlo internamente)</t>
  </si>
  <si>
    <t>Necesario ampliar el requerimiento</t>
  </si>
  <si>
    <t>Validarlo</t>
  </si>
  <si>
    <t>Definir los parametros, determinar la responsabilidad y la decisión de la IA</t>
  </si>
  <si>
    <t>Necesario validarla y revisarla</t>
  </si>
  <si>
    <t>Fuera de alcance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</si>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</sst>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4B97C5"/>
        <bgColor rgb="FF808080"/>
      </patternFill>
    </fill>
    <fill>
      <patternFill patternType="solid">
        <fgColor rgb="FFD9D9D9"/>
        <bgColor rgb="FFE2EFDA"/>
      </patternFill>
    </fill>
    <fill>
      <patternFill patternType="solid">
        <fgColor rgb="FFBFBFBF"/>
        <bgColor rgb="FFD9D9D9"/>
      </patternFill>
    </fill>
    <fill>
      <patternFill patternType="solid">
        <fgColor rgb="FFE2EFDA"/>
        <bgColor rgb="FFFFF0DC"/>
      </patternFill>
    </fill>
    <fill>
      <patternFill patternType="solid">
        <fgColor rgb="FFFCE4E4"/>
        <bgColor rgb="FFFFF0DC"/>
      </patternFill>
    </fill>
    <fill>
      <patternFill patternType="solid">
        <fgColor rgb="FFFFF0DC"/>
        <bgColor rgb="FFFFF2CC"/>
      </patternFill>
    </fill>
    <fill>
      <patternFill patternType="solid">
        <fgColor rgb="FFFFF2CC"/>
        <bgColor rgb="FFFFF0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/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top" wrapText="1"/>
    </xf>
    <xf numFmtId="0" fontId="2" fillId="5" borderId="1" xfId="0" applyFont="1" applyFill="1" applyBorder="1"/>
    <xf numFmtId="164" fontId="3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/>
    <xf numFmtId="0" fontId="2" fillId="7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8" borderId="1" xfId="0" applyFill="1" applyBorder="1"/>
    <xf numFmtId="0" fontId="2" fillId="0" borderId="1" xfId="0" applyFont="1" applyBorder="1"/>
    <xf numFmtId="0" fontId="1" fillId="2" borderId="0" xfId="0" applyFont="1" applyFill="1"/>
    <xf numFmtId="0" fontId="4" fillId="0" borderId="0" xfId="0" applyFont="1"/>
    <xf numFmtId="0" fontId="2" fillId="4" borderId="0" xfId="0" applyFont="1" applyFill="1"/>
    <xf numFmtId="0" fontId="3" fillId="0" borderId="1" xfId="0" applyFont="1" applyBorder="1"/>
    <xf numFmtId="0" fontId="2" fillId="3" borderId="0" xfId="0" applyFont="1" applyFill="1"/>
  </cellXfs>
  <cellStyles count="1">
    <cellStyle name="Normal" xfId="0" builtinId="0"/>
  </cellStyles>
  <dxfs count="6">
    <dxf>
      <fill>
        <patternFill>
          <bgColor rgb="FFFFF0DC"/>
        </patternFill>
      </fill>
    </dxf>
    <dxf>
      <fill>
        <patternFill>
          <bgColor rgb="FFFCE4E4"/>
        </patternFill>
      </fill>
    </dxf>
    <dxf>
      <fill>
        <patternFill>
          <bgColor rgb="FFE2EFDA"/>
        </patternFill>
      </fill>
    </dxf>
    <dxf>
      <fill>
        <patternFill>
          <bgColor rgb="FFFFF0DC"/>
        </patternFill>
      </fill>
    </dxf>
    <dxf>
      <fill>
        <patternFill>
          <bgColor rgb="FFFCE4E4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0D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B97C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>
      <selection sqref="A1:B1"/>
    </sheetView>
  </sheetViews>
  <sheetFormatPr baseColWidth="10" defaultColWidth="8.6640625" defaultRowHeight="14.4" x14ac:dyDescent="0.3"/>
  <cols>
    <col min="1" max="1" width="26" customWidth="1"/>
    <col min="2" max="2" width="118" customWidth="1"/>
  </cols>
  <sheetData>
    <row r="1" spans="1:2" ht="24" customHeight="1" x14ac:dyDescent="0.3">
      <c r="A1" s="26" t="s">
        <v>0</v>
      </c>
      <c r="B1" s="26"/>
    </row>
    <row r="3" spans="1:2" ht="48" customHeight="1" x14ac:dyDescent="0.3">
      <c r="A3" s="2" t="s">
        <v>1</v>
      </c>
      <c r="B3" s="3" t="s">
        <v>2</v>
      </c>
    </row>
    <row r="4" spans="1:2" ht="48" customHeight="1" x14ac:dyDescent="0.3">
      <c r="A4" s="2" t="s">
        <v>3</v>
      </c>
      <c r="B4" s="3" t="s">
        <v>4</v>
      </c>
    </row>
    <row r="5" spans="1:2" ht="48" customHeight="1" x14ac:dyDescent="0.3">
      <c r="A5" s="2" t="s">
        <v>5</v>
      </c>
      <c r="B5" s="3" t="s">
        <v>6</v>
      </c>
    </row>
    <row r="6" spans="1:2" ht="48" customHeight="1" x14ac:dyDescent="0.3">
      <c r="A6" s="2" t="s">
        <v>7</v>
      </c>
      <c r="B6" s="3" t="s">
        <v>8</v>
      </c>
    </row>
    <row r="7" spans="1:2" ht="48" customHeight="1" x14ac:dyDescent="0.3">
      <c r="A7" s="2" t="s">
        <v>9</v>
      </c>
      <c r="B7" s="3" t="s">
        <v>10</v>
      </c>
    </row>
    <row r="9" spans="1:2" ht="15" customHeight="1" x14ac:dyDescent="0.3">
      <c r="A9" s="28" t="s">
        <v>11</v>
      </c>
      <c r="B9" s="28"/>
    </row>
    <row r="10" spans="1:2" ht="45.75" customHeight="1" x14ac:dyDescent="0.3">
      <c r="A10" s="4" t="s">
        <v>12</v>
      </c>
      <c r="B10" s="3" t="s">
        <v>13</v>
      </c>
    </row>
    <row r="11" spans="1:2" ht="45.75" customHeight="1" x14ac:dyDescent="0.3">
      <c r="A11" s="5" t="s">
        <v>14</v>
      </c>
      <c r="B11" s="3" t="s">
        <v>15</v>
      </c>
    </row>
    <row r="12" spans="1:2" ht="45.75" customHeight="1" x14ac:dyDescent="0.3">
      <c r="A12" s="6" t="s">
        <v>16</v>
      </c>
      <c r="B12" s="3" t="s">
        <v>17</v>
      </c>
    </row>
    <row r="13" spans="1:2" ht="45.75" customHeight="1" x14ac:dyDescent="0.3">
      <c r="A13" s="2" t="s">
        <v>18</v>
      </c>
      <c r="B13" s="3" t="s">
        <v>19</v>
      </c>
    </row>
    <row r="15" spans="1:2" ht="15" customHeight="1" x14ac:dyDescent="0.3">
      <c r="A15" s="28" t="s">
        <v>20</v>
      </c>
      <c r="B15" s="28"/>
    </row>
    <row r="16" spans="1:2" ht="60" customHeight="1" x14ac:dyDescent="0.3">
      <c r="A16" s="7" t="s">
        <v>21</v>
      </c>
      <c r="B16" s="3" t="s">
        <v>22</v>
      </c>
    </row>
  </sheetData>
  <mergeCells count="3">
    <mergeCell ref="A1:B1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31" sqref="K31"/>
    </sheetView>
  </sheetViews>
  <sheetFormatPr baseColWidth="10" defaultColWidth="8.6640625" defaultRowHeight="14.4" x14ac:dyDescent="0.3"/>
  <cols>
    <col min="1" max="1" width="5" customWidth="1"/>
    <col min="2" max="2" width="13" customWidth="1"/>
    <col min="3" max="3" width="8" customWidth="1"/>
    <col min="4" max="4" width="34" customWidth="1"/>
    <col min="5" max="5" width="62" customWidth="1"/>
    <col min="6" max="6" width="9" customWidth="1"/>
    <col min="7" max="7" width="30" customWidth="1"/>
    <col min="8" max="8" width="40" customWidth="1"/>
    <col min="9" max="9" width="15" customWidth="1"/>
    <col min="10" max="10" width="14" customWidth="1"/>
    <col min="11" max="11" width="46" customWidth="1"/>
    <col min="12" max="12" width="22" customWidth="1"/>
    <col min="13" max="13" width="12" customWidth="1"/>
  </cols>
  <sheetData>
    <row r="1" spans="1:13" ht="24" customHeight="1" x14ac:dyDescent="0.3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5" customHeight="1" x14ac:dyDescent="0.3">
      <c r="A2" s="27" t="s">
        <v>24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1.5" customHeight="1" x14ac:dyDescent="0.3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18</v>
      </c>
      <c r="L4" s="8" t="s">
        <v>35</v>
      </c>
      <c r="M4" s="8" t="s">
        <v>36</v>
      </c>
    </row>
    <row r="5" spans="1:13" ht="73.5" customHeight="1" x14ac:dyDescent="0.3">
      <c r="A5" s="9">
        <v>1</v>
      </c>
      <c r="B5" s="9" t="s">
        <v>37</v>
      </c>
      <c r="C5" s="9" t="s">
        <v>38</v>
      </c>
      <c r="D5" s="10" t="s">
        <v>265</v>
      </c>
      <c r="E5" s="10" t="s">
        <v>39</v>
      </c>
      <c r="F5" s="11">
        <v>4</v>
      </c>
      <c r="G5" s="10" t="s">
        <v>40</v>
      </c>
      <c r="H5" s="10" t="s">
        <v>41</v>
      </c>
      <c r="I5" s="12" t="s">
        <v>266</v>
      </c>
      <c r="J5" s="12" t="s">
        <v>12</v>
      </c>
      <c r="K5" s="13" t="s">
        <v>267</v>
      </c>
      <c r="L5" s="13"/>
      <c r="M5" s="12"/>
    </row>
    <row r="6" spans="1:13" ht="73.5" customHeight="1" x14ac:dyDescent="0.3">
      <c r="A6" s="9">
        <v>2</v>
      </c>
      <c r="B6" s="9" t="s">
        <v>37</v>
      </c>
      <c r="C6" s="9" t="s">
        <v>42</v>
      </c>
      <c r="D6" s="10" t="s">
        <v>43</v>
      </c>
      <c r="E6" s="10" t="s">
        <v>44</v>
      </c>
      <c r="F6" s="11">
        <v>4</v>
      </c>
      <c r="G6" s="10" t="s">
        <v>45</v>
      </c>
      <c r="H6" s="10" t="s">
        <v>46</v>
      </c>
      <c r="I6" s="12" t="s">
        <v>268</v>
      </c>
      <c r="J6" s="12" t="s">
        <v>12</v>
      </c>
      <c r="K6" s="13" t="s">
        <v>269</v>
      </c>
      <c r="L6" s="13"/>
      <c r="M6" s="12"/>
    </row>
    <row r="7" spans="1:13" ht="73.5" customHeight="1" x14ac:dyDescent="0.3">
      <c r="A7" s="9">
        <v>3</v>
      </c>
      <c r="B7" s="9" t="s">
        <v>37</v>
      </c>
      <c r="C7" s="9" t="s">
        <v>47</v>
      </c>
      <c r="D7" s="10" t="s">
        <v>48</v>
      </c>
      <c r="E7" s="10" t="s">
        <v>49</v>
      </c>
      <c r="F7" s="11">
        <v>4</v>
      </c>
      <c r="G7" s="10" t="s">
        <v>50</v>
      </c>
      <c r="H7" s="10" t="s">
        <v>51</v>
      </c>
      <c r="I7" s="12" t="s">
        <v>266</v>
      </c>
      <c r="J7" s="12" t="s">
        <v>12</v>
      </c>
      <c r="K7" s="13" t="s">
        <v>270</v>
      </c>
      <c r="L7" s="13"/>
      <c r="M7" s="12"/>
    </row>
    <row r="8" spans="1:13" ht="73.5" customHeight="1" x14ac:dyDescent="0.3">
      <c r="A8" s="9">
        <v>4</v>
      </c>
      <c r="B8" s="9" t="s">
        <v>37</v>
      </c>
      <c r="C8" s="9" t="s">
        <v>52</v>
      </c>
      <c r="D8" s="10" t="s">
        <v>53</v>
      </c>
      <c r="E8" s="10" t="s">
        <v>54</v>
      </c>
      <c r="F8" s="11">
        <v>4</v>
      </c>
      <c r="G8" s="10" t="s">
        <v>55</v>
      </c>
      <c r="H8" s="10" t="s">
        <v>56</v>
      </c>
      <c r="I8" s="12" t="s">
        <v>271</v>
      </c>
      <c r="J8" s="12" t="s">
        <v>12</v>
      </c>
      <c r="K8" s="13" t="s">
        <v>272</v>
      </c>
      <c r="L8" s="13"/>
      <c r="M8" s="12"/>
    </row>
    <row r="9" spans="1:13" ht="73.5" customHeight="1" x14ac:dyDescent="0.3">
      <c r="A9" s="9">
        <v>5</v>
      </c>
      <c r="B9" s="9" t="s">
        <v>57</v>
      </c>
      <c r="C9" s="9" t="s">
        <v>58</v>
      </c>
      <c r="D9" s="10" t="s">
        <v>59</v>
      </c>
      <c r="E9" s="10" t="s">
        <v>60</v>
      </c>
      <c r="F9" s="11">
        <v>4</v>
      </c>
      <c r="G9" s="10" t="s">
        <v>61</v>
      </c>
      <c r="H9" s="10" t="s">
        <v>62</v>
      </c>
      <c r="I9" s="12" t="s">
        <v>266</v>
      </c>
      <c r="J9" s="12" t="s">
        <v>12</v>
      </c>
      <c r="K9" s="13" t="s">
        <v>273</v>
      </c>
      <c r="L9" s="13"/>
      <c r="M9" s="12"/>
    </row>
    <row r="10" spans="1:13" ht="73.5" customHeight="1" x14ac:dyDescent="0.3">
      <c r="A10" s="9">
        <v>6</v>
      </c>
      <c r="B10" s="9" t="s">
        <v>57</v>
      </c>
      <c r="C10" s="9" t="s">
        <v>63</v>
      </c>
      <c r="D10" s="10" t="s">
        <v>64</v>
      </c>
      <c r="E10" s="10" t="s">
        <v>65</v>
      </c>
      <c r="F10" s="11">
        <v>4</v>
      </c>
      <c r="G10" s="10" t="s">
        <v>66</v>
      </c>
      <c r="H10" s="10" t="s">
        <v>67</v>
      </c>
      <c r="I10" s="12" t="s">
        <v>266</v>
      </c>
      <c r="J10" s="12" t="s">
        <v>12</v>
      </c>
      <c r="K10" s="13" t="s">
        <v>273</v>
      </c>
      <c r="L10" s="13"/>
      <c r="M10" s="12"/>
    </row>
    <row r="11" spans="1:13" ht="73.5" customHeight="1" x14ac:dyDescent="0.3">
      <c r="A11" s="9">
        <v>7</v>
      </c>
      <c r="B11" s="9" t="s">
        <v>57</v>
      </c>
      <c r="C11" s="9" t="s">
        <v>68</v>
      </c>
      <c r="D11" s="10" t="s">
        <v>69</v>
      </c>
      <c r="E11" s="10" t="s">
        <v>70</v>
      </c>
      <c r="F11" s="11">
        <v>4</v>
      </c>
      <c r="G11" s="10" t="s">
        <v>66</v>
      </c>
      <c r="H11" s="10" t="s">
        <v>71</v>
      </c>
      <c r="I11" s="12" t="s">
        <v>266</v>
      </c>
      <c r="J11" s="12" t="s">
        <v>12</v>
      </c>
      <c r="K11" s="13" t="s">
        <v>273</v>
      </c>
      <c r="L11" s="13"/>
      <c r="M11" s="12"/>
    </row>
    <row r="12" spans="1:13" ht="73.5" customHeight="1" x14ac:dyDescent="0.3">
      <c r="A12" s="9">
        <v>8</v>
      </c>
      <c r="B12" s="9" t="s">
        <v>57</v>
      </c>
      <c r="C12" s="9" t="s">
        <v>72</v>
      </c>
      <c r="D12" s="10" t="s">
        <v>73</v>
      </c>
      <c r="E12" s="10" t="s">
        <v>74</v>
      </c>
      <c r="F12" s="11">
        <v>4</v>
      </c>
      <c r="G12" s="10" t="s">
        <v>75</v>
      </c>
      <c r="H12" s="10" t="s">
        <v>76</v>
      </c>
      <c r="I12" s="12" t="s">
        <v>271</v>
      </c>
      <c r="J12" s="12" t="s">
        <v>16</v>
      </c>
      <c r="K12" s="13" t="s">
        <v>274</v>
      </c>
      <c r="L12" s="13"/>
      <c r="M12" s="12"/>
    </row>
    <row r="13" spans="1:13" ht="73.5" customHeight="1" x14ac:dyDescent="0.3">
      <c r="A13" s="9">
        <v>9</v>
      </c>
      <c r="B13" s="9" t="s">
        <v>77</v>
      </c>
      <c r="C13" s="9" t="s">
        <v>78</v>
      </c>
      <c r="D13" s="10" t="s">
        <v>79</v>
      </c>
      <c r="E13" s="10" t="s">
        <v>80</v>
      </c>
      <c r="F13" s="11">
        <v>5</v>
      </c>
      <c r="G13" s="10" t="s">
        <v>81</v>
      </c>
      <c r="H13" s="10" t="s">
        <v>82</v>
      </c>
      <c r="I13" s="12" t="s">
        <v>266</v>
      </c>
      <c r="J13" s="12" t="s">
        <v>12</v>
      </c>
      <c r="K13" s="13" t="s">
        <v>275</v>
      </c>
      <c r="L13" s="13"/>
      <c r="M13" s="12"/>
    </row>
    <row r="14" spans="1:13" ht="73.5" customHeight="1" x14ac:dyDescent="0.3">
      <c r="A14" s="9">
        <v>10</v>
      </c>
      <c r="B14" s="9" t="s">
        <v>77</v>
      </c>
      <c r="C14" s="9" t="s">
        <v>83</v>
      </c>
      <c r="D14" s="10" t="s">
        <v>84</v>
      </c>
      <c r="E14" s="10" t="s">
        <v>85</v>
      </c>
      <c r="F14" s="11">
        <v>5</v>
      </c>
      <c r="G14" s="10" t="s">
        <v>86</v>
      </c>
      <c r="H14" s="10" t="s">
        <v>87</v>
      </c>
      <c r="I14" s="12" t="s">
        <v>271</v>
      </c>
      <c r="J14" s="12" t="s">
        <v>12</v>
      </c>
      <c r="K14" s="13" t="s">
        <v>273</v>
      </c>
      <c r="L14" s="13"/>
      <c r="M14" s="12"/>
    </row>
    <row r="15" spans="1:13" ht="73.5" customHeight="1" x14ac:dyDescent="0.3">
      <c r="A15" s="9">
        <v>11</v>
      </c>
      <c r="B15" s="9" t="s">
        <v>77</v>
      </c>
      <c r="C15" s="9" t="s">
        <v>88</v>
      </c>
      <c r="D15" s="10" t="s">
        <v>89</v>
      </c>
      <c r="E15" s="10" t="s">
        <v>90</v>
      </c>
      <c r="F15" s="11">
        <v>5</v>
      </c>
      <c r="G15" s="10" t="s">
        <v>86</v>
      </c>
      <c r="H15" s="10" t="s">
        <v>91</v>
      </c>
      <c r="I15" s="12" t="s">
        <v>268</v>
      </c>
      <c r="J15" s="12" t="s">
        <v>16</v>
      </c>
      <c r="K15" s="13" t="s">
        <v>276</v>
      </c>
      <c r="L15" s="13"/>
      <c r="M15" s="12"/>
    </row>
    <row r="16" spans="1:13" ht="73.5" customHeight="1" x14ac:dyDescent="0.3">
      <c r="A16" s="9">
        <v>12</v>
      </c>
      <c r="B16" s="9" t="s">
        <v>77</v>
      </c>
      <c r="C16" s="9" t="s">
        <v>92</v>
      </c>
      <c r="D16" s="10" t="s">
        <v>93</v>
      </c>
      <c r="E16" s="10" t="s">
        <v>94</v>
      </c>
      <c r="F16" s="11">
        <v>5</v>
      </c>
      <c r="G16" s="10" t="s">
        <v>86</v>
      </c>
      <c r="H16" s="10" t="s">
        <v>95</v>
      </c>
      <c r="I16" s="12" t="s">
        <v>271</v>
      </c>
      <c r="J16" s="12" t="s">
        <v>12</v>
      </c>
      <c r="K16" s="13" t="s">
        <v>277</v>
      </c>
      <c r="L16" s="13"/>
      <c r="M16" s="12"/>
    </row>
    <row r="17" spans="1:13" ht="73.5" customHeight="1" x14ac:dyDescent="0.3">
      <c r="A17" s="9">
        <v>13</v>
      </c>
      <c r="B17" s="9" t="s">
        <v>96</v>
      </c>
      <c r="C17" s="9" t="s">
        <v>97</v>
      </c>
      <c r="D17" s="10" t="s">
        <v>98</v>
      </c>
      <c r="E17" s="10" t="s">
        <v>99</v>
      </c>
      <c r="F17" s="11">
        <v>5</v>
      </c>
      <c r="G17" s="10" t="s">
        <v>86</v>
      </c>
      <c r="H17" s="10" t="s">
        <v>100</v>
      </c>
      <c r="I17" s="12" t="s">
        <v>271</v>
      </c>
      <c r="J17" s="12" t="s">
        <v>16</v>
      </c>
      <c r="K17" s="13" t="s">
        <v>278</v>
      </c>
      <c r="L17" s="13"/>
      <c r="M17" s="12"/>
    </row>
    <row r="18" spans="1:13" ht="73.5" customHeight="1" x14ac:dyDescent="0.3">
      <c r="A18" s="9">
        <v>14</v>
      </c>
      <c r="B18" s="9" t="s">
        <v>96</v>
      </c>
      <c r="C18" s="9" t="s">
        <v>101</v>
      </c>
      <c r="D18" s="10" t="s">
        <v>102</v>
      </c>
      <c r="E18" s="10" t="s">
        <v>103</v>
      </c>
      <c r="F18" s="11">
        <v>5</v>
      </c>
      <c r="G18" s="10" t="s">
        <v>86</v>
      </c>
      <c r="H18" s="10" t="s">
        <v>104</v>
      </c>
      <c r="I18" s="12" t="s">
        <v>271</v>
      </c>
      <c r="J18" s="12" t="s">
        <v>16</v>
      </c>
      <c r="K18" s="13" t="s">
        <v>278</v>
      </c>
      <c r="L18" s="13"/>
      <c r="M18" s="12"/>
    </row>
    <row r="19" spans="1:13" ht="73.5" customHeight="1" x14ac:dyDescent="0.3">
      <c r="A19" s="9">
        <v>15</v>
      </c>
      <c r="B19" s="9" t="s">
        <v>96</v>
      </c>
      <c r="C19" s="9" t="s">
        <v>105</v>
      </c>
      <c r="D19" s="10" t="s">
        <v>106</v>
      </c>
      <c r="E19" s="10" t="s">
        <v>107</v>
      </c>
      <c r="F19" s="11">
        <v>5</v>
      </c>
      <c r="G19" s="10" t="s">
        <v>86</v>
      </c>
      <c r="H19" s="10" t="s">
        <v>104</v>
      </c>
      <c r="I19" s="12" t="s">
        <v>271</v>
      </c>
      <c r="J19" s="12" t="s">
        <v>16</v>
      </c>
      <c r="K19" s="13" t="s">
        <v>278</v>
      </c>
      <c r="L19" s="13"/>
      <c r="M19" s="12"/>
    </row>
    <row r="20" spans="1:13" ht="73.5" customHeight="1" x14ac:dyDescent="0.3">
      <c r="A20" s="9">
        <v>16</v>
      </c>
      <c r="B20" s="9" t="s">
        <v>96</v>
      </c>
      <c r="C20" s="9" t="s">
        <v>108</v>
      </c>
      <c r="D20" s="10" t="s">
        <v>109</v>
      </c>
      <c r="E20" s="10" t="s">
        <v>110</v>
      </c>
      <c r="F20" s="11">
        <v>5</v>
      </c>
      <c r="G20" s="10" t="s">
        <v>86</v>
      </c>
      <c r="H20" s="10" t="s">
        <v>111</v>
      </c>
      <c r="I20" s="12" t="s">
        <v>271</v>
      </c>
      <c r="J20" s="12" t="s">
        <v>16</v>
      </c>
      <c r="K20" s="13" t="s">
        <v>278</v>
      </c>
      <c r="L20" s="13"/>
      <c r="M20" s="12"/>
    </row>
    <row r="21" spans="1:13" ht="73.5" customHeight="1" x14ac:dyDescent="0.3">
      <c r="A21" s="9">
        <v>17</v>
      </c>
      <c r="B21" s="9" t="s">
        <v>96</v>
      </c>
      <c r="C21" s="9" t="s">
        <v>112</v>
      </c>
      <c r="D21" s="10" t="s">
        <v>113</v>
      </c>
      <c r="E21" s="10" t="s">
        <v>114</v>
      </c>
      <c r="F21" s="11">
        <v>5</v>
      </c>
      <c r="G21" s="10" t="s">
        <v>86</v>
      </c>
      <c r="H21" s="10" t="s">
        <v>115</v>
      </c>
      <c r="I21" s="12" t="s">
        <v>271</v>
      </c>
      <c r="J21" s="12" t="s">
        <v>16</v>
      </c>
      <c r="K21" s="13" t="s">
        <v>278</v>
      </c>
      <c r="L21" s="13"/>
      <c r="M21" s="12"/>
    </row>
    <row r="22" spans="1:13" ht="73.5" customHeight="1" x14ac:dyDescent="0.3">
      <c r="A22" s="9">
        <v>18</v>
      </c>
      <c r="B22" s="9" t="s">
        <v>96</v>
      </c>
      <c r="C22" s="9" t="s">
        <v>116</v>
      </c>
      <c r="D22" s="10" t="s">
        <v>117</v>
      </c>
      <c r="E22" s="10" t="s">
        <v>118</v>
      </c>
      <c r="F22" s="11">
        <v>5</v>
      </c>
      <c r="G22" s="10" t="s">
        <v>86</v>
      </c>
      <c r="H22" s="10" t="s">
        <v>119</v>
      </c>
      <c r="I22" s="12" t="s">
        <v>271</v>
      </c>
      <c r="J22" s="12" t="s">
        <v>16</v>
      </c>
      <c r="K22" s="13" t="s">
        <v>278</v>
      </c>
      <c r="L22" s="13"/>
      <c r="M22" s="12"/>
    </row>
    <row r="23" spans="1:13" ht="73.5" customHeight="1" x14ac:dyDescent="0.3">
      <c r="A23" s="9">
        <v>19</v>
      </c>
      <c r="B23" s="9" t="s">
        <v>96</v>
      </c>
      <c r="C23" s="9" t="s">
        <v>120</v>
      </c>
      <c r="D23" s="10" t="s">
        <v>121</v>
      </c>
      <c r="E23" s="10" t="s">
        <v>122</v>
      </c>
      <c r="F23" s="11">
        <v>5</v>
      </c>
      <c r="G23" s="10" t="s">
        <v>86</v>
      </c>
      <c r="H23" s="10" t="s">
        <v>123</v>
      </c>
      <c r="I23" s="12" t="s">
        <v>266</v>
      </c>
      <c r="J23" s="12" t="s">
        <v>12</v>
      </c>
      <c r="K23" s="13" t="s">
        <v>279</v>
      </c>
      <c r="L23" s="13"/>
      <c r="M23" s="12"/>
    </row>
    <row r="24" spans="1:13" ht="73.5" customHeight="1" x14ac:dyDescent="0.3">
      <c r="A24" s="9">
        <v>20</v>
      </c>
      <c r="B24" s="9" t="s">
        <v>124</v>
      </c>
      <c r="C24" s="9" t="s">
        <v>125</v>
      </c>
      <c r="D24" s="10" t="s">
        <v>126</v>
      </c>
      <c r="E24" s="10" t="s">
        <v>127</v>
      </c>
      <c r="F24" s="11">
        <v>5</v>
      </c>
      <c r="G24" s="10" t="s">
        <v>128</v>
      </c>
      <c r="H24" s="10" t="s">
        <v>129</v>
      </c>
      <c r="I24" s="12" t="s">
        <v>271</v>
      </c>
      <c r="J24" s="12" t="s">
        <v>12</v>
      </c>
      <c r="K24" s="13" t="s">
        <v>277</v>
      </c>
      <c r="L24" s="13"/>
      <c r="M24" s="12"/>
    </row>
    <row r="25" spans="1:13" ht="73.5" customHeight="1" x14ac:dyDescent="0.3">
      <c r="A25" s="9">
        <v>21</v>
      </c>
      <c r="B25" s="9" t="s">
        <v>124</v>
      </c>
      <c r="C25" s="9" t="s">
        <v>130</v>
      </c>
      <c r="D25" s="10" t="s">
        <v>131</v>
      </c>
      <c r="E25" s="10" t="s">
        <v>132</v>
      </c>
      <c r="F25" s="11">
        <v>6</v>
      </c>
      <c r="G25" s="10" t="s">
        <v>133</v>
      </c>
      <c r="H25" s="10" t="s">
        <v>134</v>
      </c>
      <c r="I25" s="12" t="s">
        <v>280</v>
      </c>
      <c r="J25" s="12" t="s">
        <v>12</v>
      </c>
      <c r="K25" s="13"/>
      <c r="L25" s="13"/>
      <c r="M25" s="12"/>
    </row>
    <row r="26" spans="1:13" ht="73.5" customHeight="1" x14ac:dyDescent="0.3">
      <c r="A26" s="9">
        <v>22</v>
      </c>
      <c r="B26" s="9" t="s">
        <v>124</v>
      </c>
      <c r="C26" s="9" t="s">
        <v>135</v>
      </c>
      <c r="D26" s="10" t="s">
        <v>136</v>
      </c>
      <c r="E26" s="10" t="s">
        <v>137</v>
      </c>
      <c r="F26" s="11">
        <v>6</v>
      </c>
      <c r="G26" s="10" t="s">
        <v>138</v>
      </c>
      <c r="H26" s="10" t="s">
        <v>139</v>
      </c>
      <c r="I26" s="12" t="s">
        <v>280</v>
      </c>
      <c r="J26" s="12" t="s">
        <v>12</v>
      </c>
      <c r="K26" s="13"/>
      <c r="L26" s="13"/>
      <c r="M26" s="12"/>
    </row>
    <row r="27" spans="1:13" ht="73.5" customHeight="1" x14ac:dyDescent="0.3">
      <c r="A27" s="9">
        <v>23</v>
      </c>
      <c r="B27" s="9" t="s">
        <v>124</v>
      </c>
      <c r="C27" s="9" t="s">
        <v>140</v>
      </c>
      <c r="D27" s="10" t="s">
        <v>141</v>
      </c>
      <c r="E27" s="10" t="s">
        <v>142</v>
      </c>
      <c r="F27" s="11">
        <v>6</v>
      </c>
      <c r="G27" s="10" t="s">
        <v>138</v>
      </c>
      <c r="H27" s="10" t="s">
        <v>143</v>
      </c>
      <c r="I27" s="12" t="s">
        <v>280</v>
      </c>
      <c r="J27" s="12" t="s">
        <v>12</v>
      </c>
      <c r="K27" s="13"/>
      <c r="L27" s="13"/>
      <c r="M27" s="12"/>
    </row>
    <row r="28" spans="1:13" ht="73.5" customHeight="1" x14ac:dyDescent="0.3">
      <c r="A28" s="9">
        <v>24</v>
      </c>
      <c r="B28" s="9" t="s">
        <v>144</v>
      </c>
      <c r="C28" s="9" t="s">
        <v>145</v>
      </c>
      <c r="D28" s="10" t="s">
        <v>146</v>
      </c>
      <c r="E28" s="10" t="s">
        <v>147</v>
      </c>
      <c r="F28" s="11">
        <v>6</v>
      </c>
      <c r="G28" s="10" t="s">
        <v>148</v>
      </c>
      <c r="H28" s="10" t="s">
        <v>149</v>
      </c>
      <c r="I28" s="12" t="s">
        <v>266</v>
      </c>
      <c r="J28" s="12" t="s">
        <v>12</v>
      </c>
      <c r="K28" s="13"/>
      <c r="L28" s="13"/>
      <c r="M28" s="12"/>
    </row>
    <row r="29" spans="1:13" ht="73.5" customHeight="1" x14ac:dyDescent="0.3">
      <c r="A29" s="9">
        <v>25</v>
      </c>
      <c r="B29" s="9" t="s">
        <v>144</v>
      </c>
      <c r="C29" s="9" t="s">
        <v>150</v>
      </c>
      <c r="D29" s="10" t="s">
        <v>151</v>
      </c>
      <c r="E29" s="10" t="s">
        <v>152</v>
      </c>
      <c r="F29" s="11">
        <v>6</v>
      </c>
      <c r="G29" s="10" t="s">
        <v>153</v>
      </c>
      <c r="H29" s="10" t="s">
        <v>154</v>
      </c>
      <c r="I29" s="12" t="s">
        <v>268</v>
      </c>
      <c r="J29" s="12" t="s">
        <v>12</v>
      </c>
      <c r="K29" s="13"/>
      <c r="L29" s="13"/>
      <c r="M29" s="12"/>
    </row>
    <row r="30" spans="1:13" ht="73.5" customHeight="1" x14ac:dyDescent="0.3">
      <c r="A30" s="9">
        <v>26</v>
      </c>
      <c r="B30" s="9" t="s">
        <v>144</v>
      </c>
      <c r="C30" s="9" t="s">
        <v>155</v>
      </c>
      <c r="D30" s="10" t="s">
        <v>156</v>
      </c>
      <c r="E30" s="10" t="s">
        <v>157</v>
      </c>
      <c r="F30" s="11">
        <v>6</v>
      </c>
      <c r="G30" s="10" t="s">
        <v>158</v>
      </c>
      <c r="H30" s="10" t="s">
        <v>159</v>
      </c>
      <c r="I30" s="12" t="s">
        <v>280</v>
      </c>
      <c r="J30" s="12" t="s">
        <v>16</v>
      </c>
      <c r="K30" s="13"/>
      <c r="L30" s="13"/>
      <c r="M30" s="12"/>
    </row>
    <row r="31" spans="1:13" ht="73.5" customHeight="1" x14ac:dyDescent="0.3">
      <c r="A31" s="9">
        <v>27</v>
      </c>
      <c r="B31" s="9" t="s">
        <v>144</v>
      </c>
      <c r="C31" s="9" t="s">
        <v>160</v>
      </c>
      <c r="D31" s="10" t="s">
        <v>161</v>
      </c>
      <c r="E31" s="10" t="s">
        <v>162</v>
      </c>
      <c r="F31" s="11">
        <v>6</v>
      </c>
      <c r="G31" s="10" t="s">
        <v>163</v>
      </c>
      <c r="H31" s="10" t="s">
        <v>164</v>
      </c>
      <c r="I31" s="12" t="s">
        <v>268</v>
      </c>
      <c r="J31" s="12" t="s">
        <v>12</v>
      </c>
      <c r="K31" s="13"/>
      <c r="L31" s="13"/>
      <c r="M31" s="12"/>
    </row>
  </sheetData>
  <autoFilter ref="A4:M31" xr:uid="{00000000-0009-0000-0000-000001000000}"/>
  <mergeCells count="2">
    <mergeCell ref="A1:M1"/>
    <mergeCell ref="A2:M2"/>
  </mergeCells>
  <conditionalFormatting sqref="J5:J31">
    <cfRule type="cellIs" dxfId="5" priority="2" operator="equal">
      <formula>"Viable"</formula>
    </cfRule>
    <cfRule type="cellIs" dxfId="4" priority="3" operator="equal">
      <formula>"Inviable"</formula>
    </cfRule>
    <cfRule type="cellIs" dxfId="3" priority="4" operator="equal">
      <formula>"Replantear"</formula>
    </cfRule>
  </conditionalFormatting>
  <dataValidations count="2">
    <dataValidation type="list" allowBlank="1" errorTitle="Concepto no válido" error="Seleccione uno de los tres conceptos de la lista." sqref="J5:J31" xr:uid="{00000000-0002-0000-0100-000000000000}">
      <formula1>"Viable,Inviable,Replantear"</formula1>
      <formula2>0</formula2>
    </dataValidation>
    <dataValidation type="list" allowBlank="1" sqref="I5:I31" xr:uid="{00000000-0002-0000-0100-000001000000}">
      <formula1>"Imprescindible,Importante,Deseable,Fuera de alcance"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16" sqref="J16"/>
    </sheetView>
  </sheetViews>
  <sheetFormatPr baseColWidth="10" defaultColWidth="8.6640625" defaultRowHeight="14.4" x14ac:dyDescent="0.3"/>
  <cols>
    <col min="1" max="1" width="5" customWidth="1"/>
    <col min="2" max="2" width="13" customWidth="1"/>
    <col min="3" max="3" width="8" customWidth="1"/>
    <col min="4" max="4" width="34" customWidth="1"/>
    <col min="5" max="5" width="62" customWidth="1"/>
    <col min="6" max="6" width="9" customWidth="1"/>
    <col min="7" max="7" width="30" customWidth="1"/>
    <col min="8" max="8" width="40" customWidth="1"/>
    <col min="9" max="9" width="15" customWidth="1"/>
    <col min="10" max="10" width="14" customWidth="1"/>
    <col min="11" max="11" width="46" customWidth="1"/>
    <col min="12" max="12" width="22" customWidth="1"/>
    <col min="13" max="13" width="12" customWidth="1"/>
  </cols>
  <sheetData>
    <row r="1" spans="1:13" ht="24" customHeight="1" x14ac:dyDescent="0.3">
      <c r="A1" s="26" t="s">
        <v>165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5" customHeight="1" x14ac:dyDescent="0.3">
      <c r="A2" s="27" t="s">
        <v>24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1.5" customHeight="1" x14ac:dyDescent="0.3">
      <c r="A4" s="8" t="s">
        <v>25</v>
      </c>
      <c r="B4" s="8" t="s">
        <v>166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18</v>
      </c>
      <c r="L4" s="8" t="s">
        <v>35</v>
      </c>
      <c r="M4" s="8" t="s">
        <v>36</v>
      </c>
    </row>
    <row r="5" spans="1:13" ht="73.5" customHeight="1" x14ac:dyDescent="0.3">
      <c r="A5" s="9">
        <v>1</v>
      </c>
      <c r="B5" s="9" t="s">
        <v>167</v>
      </c>
      <c r="C5" s="9" t="s">
        <v>168</v>
      </c>
      <c r="D5" s="10" t="s">
        <v>169</v>
      </c>
      <c r="E5" s="10" t="s">
        <v>170</v>
      </c>
      <c r="F5" s="11">
        <v>7</v>
      </c>
      <c r="G5" s="10" t="s">
        <v>171</v>
      </c>
      <c r="H5" s="10" t="s">
        <v>172</v>
      </c>
      <c r="I5" s="12" t="s">
        <v>266</v>
      </c>
      <c r="J5" s="12" t="s">
        <v>12</v>
      </c>
      <c r="K5" s="13"/>
      <c r="L5" s="13"/>
      <c r="M5" s="12"/>
    </row>
    <row r="6" spans="1:13" ht="73.5" customHeight="1" x14ac:dyDescent="0.3">
      <c r="A6" s="9">
        <v>2</v>
      </c>
      <c r="B6" s="9" t="s">
        <v>173</v>
      </c>
      <c r="C6" s="9" t="s">
        <v>174</v>
      </c>
      <c r="D6" s="10" t="s">
        <v>175</v>
      </c>
      <c r="E6" s="10" t="s">
        <v>176</v>
      </c>
      <c r="F6" s="11">
        <v>4</v>
      </c>
      <c r="G6" s="10" t="s">
        <v>177</v>
      </c>
      <c r="H6" s="10" t="s">
        <v>178</v>
      </c>
      <c r="I6" s="12" t="s">
        <v>266</v>
      </c>
      <c r="J6" s="12" t="s">
        <v>12</v>
      </c>
      <c r="K6" s="13"/>
      <c r="L6" s="13"/>
      <c r="M6" s="12"/>
    </row>
    <row r="7" spans="1:13" ht="73.5" customHeight="1" x14ac:dyDescent="0.3">
      <c r="A7" s="9">
        <v>3</v>
      </c>
      <c r="B7" s="9" t="s">
        <v>173</v>
      </c>
      <c r="C7" s="9" t="s">
        <v>179</v>
      </c>
      <c r="D7" s="10" t="s">
        <v>180</v>
      </c>
      <c r="E7" s="10" t="s">
        <v>181</v>
      </c>
      <c r="F7" s="11">
        <v>8</v>
      </c>
      <c r="G7" s="10" t="s">
        <v>182</v>
      </c>
      <c r="H7" s="10" t="s">
        <v>183</v>
      </c>
      <c r="I7" s="12" t="s">
        <v>266</v>
      </c>
      <c r="J7" s="12" t="s">
        <v>12</v>
      </c>
      <c r="K7" s="13"/>
      <c r="L7" s="13"/>
      <c r="M7" s="12"/>
    </row>
    <row r="8" spans="1:13" ht="73.5" customHeight="1" x14ac:dyDescent="0.3">
      <c r="A8" s="9">
        <v>4</v>
      </c>
      <c r="B8" s="9" t="s">
        <v>184</v>
      </c>
      <c r="C8" s="9" t="s">
        <v>185</v>
      </c>
      <c r="D8" s="10" t="s">
        <v>186</v>
      </c>
      <c r="E8" s="10" t="s">
        <v>187</v>
      </c>
      <c r="F8" s="11">
        <v>8</v>
      </c>
      <c r="G8" s="10" t="s">
        <v>188</v>
      </c>
      <c r="H8" s="10" t="s">
        <v>189</v>
      </c>
      <c r="I8" s="12" t="s">
        <v>266</v>
      </c>
      <c r="J8" s="12" t="s">
        <v>12</v>
      </c>
      <c r="K8" s="13"/>
      <c r="L8" s="13"/>
      <c r="M8" s="12"/>
    </row>
    <row r="9" spans="1:13" ht="73.5" customHeight="1" x14ac:dyDescent="0.3">
      <c r="A9" s="9">
        <v>5</v>
      </c>
      <c r="B9" s="9" t="s">
        <v>184</v>
      </c>
      <c r="C9" s="9" t="s">
        <v>190</v>
      </c>
      <c r="D9" s="10" t="s">
        <v>191</v>
      </c>
      <c r="E9" s="10" t="s">
        <v>192</v>
      </c>
      <c r="F9" s="11">
        <v>7</v>
      </c>
      <c r="G9" s="10" t="s">
        <v>193</v>
      </c>
      <c r="H9" s="10" t="s">
        <v>194</v>
      </c>
      <c r="I9" s="12" t="s">
        <v>268</v>
      </c>
      <c r="J9" s="12" t="s">
        <v>14</v>
      </c>
      <c r="K9" s="13"/>
      <c r="L9" s="13"/>
      <c r="M9" s="12"/>
    </row>
    <row r="10" spans="1:13" ht="73.5" customHeight="1" x14ac:dyDescent="0.3">
      <c r="A10" s="9">
        <v>6</v>
      </c>
      <c r="B10" s="9" t="s">
        <v>195</v>
      </c>
      <c r="C10" s="9" t="s">
        <v>196</v>
      </c>
      <c r="D10" s="10" t="s">
        <v>197</v>
      </c>
      <c r="E10" s="10" t="s">
        <v>198</v>
      </c>
      <c r="F10" s="11">
        <v>9</v>
      </c>
      <c r="G10" s="10" t="s">
        <v>199</v>
      </c>
      <c r="H10" s="10" t="s">
        <v>200</v>
      </c>
      <c r="I10" s="12" t="s">
        <v>266</v>
      </c>
      <c r="J10" s="12" t="s">
        <v>12</v>
      </c>
      <c r="K10" s="13"/>
      <c r="L10" s="13"/>
      <c r="M10" s="12"/>
    </row>
    <row r="11" spans="1:13" ht="73.5" customHeight="1" x14ac:dyDescent="0.3">
      <c r="A11" s="9">
        <v>7</v>
      </c>
      <c r="B11" s="9" t="s">
        <v>201</v>
      </c>
      <c r="C11" s="9" t="s">
        <v>202</v>
      </c>
      <c r="D11" s="10" t="s">
        <v>203</v>
      </c>
      <c r="E11" s="10" t="s">
        <v>204</v>
      </c>
      <c r="F11" s="11">
        <v>4</v>
      </c>
      <c r="G11" s="10" t="s">
        <v>205</v>
      </c>
      <c r="H11" s="10" t="s">
        <v>206</v>
      </c>
      <c r="I11" s="12" t="s">
        <v>266</v>
      </c>
      <c r="J11" s="12" t="s">
        <v>12</v>
      </c>
      <c r="K11" s="13"/>
      <c r="L11" s="13"/>
      <c r="M11" s="12"/>
    </row>
    <row r="12" spans="1:13" ht="73.5" customHeight="1" x14ac:dyDescent="0.3">
      <c r="A12" s="9">
        <v>8</v>
      </c>
      <c r="B12" s="9" t="s">
        <v>201</v>
      </c>
      <c r="C12" s="9" t="s">
        <v>207</v>
      </c>
      <c r="D12" s="10" t="s">
        <v>208</v>
      </c>
      <c r="E12" s="10" t="s">
        <v>209</v>
      </c>
      <c r="F12" s="11">
        <v>5</v>
      </c>
      <c r="G12" s="10" t="s">
        <v>210</v>
      </c>
      <c r="H12" s="10" t="s">
        <v>211</v>
      </c>
      <c r="I12" s="12" t="s">
        <v>266</v>
      </c>
      <c r="J12" s="12" t="s">
        <v>12</v>
      </c>
      <c r="K12" s="13"/>
      <c r="L12" s="13"/>
      <c r="M12" s="12"/>
    </row>
    <row r="13" spans="1:13" ht="73.5" customHeight="1" x14ac:dyDescent="0.3">
      <c r="A13" s="9">
        <v>9</v>
      </c>
      <c r="B13" s="9" t="s">
        <v>212</v>
      </c>
      <c r="C13" s="9" t="s">
        <v>213</v>
      </c>
      <c r="D13" s="10" t="s">
        <v>214</v>
      </c>
      <c r="E13" s="10" t="s">
        <v>215</v>
      </c>
      <c r="F13" s="11">
        <v>3</v>
      </c>
      <c r="G13" s="10" t="s">
        <v>216</v>
      </c>
      <c r="H13" s="10" t="s">
        <v>217</v>
      </c>
      <c r="I13" s="12" t="s">
        <v>271</v>
      </c>
      <c r="J13" s="12" t="s">
        <v>12</v>
      </c>
      <c r="K13" s="13"/>
      <c r="L13" s="13"/>
      <c r="M13" s="12"/>
    </row>
    <row r="14" spans="1:13" ht="73.5" customHeight="1" x14ac:dyDescent="0.3">
      <c r="A14" s="9">
        <v>10</v>
      </c>
      <c r="B14" s="9" t="s">
        <v>212</v>
      </c>
      <c r="C14" s="9" t="s">
        <v>218</v>
      </c>
      <c r="D14" s="10" t="s">
        <v>219</v>
      </c>
      <c r="E14" s="10" t="s">
        <v>220</v>
      </c>
      <c r="F14" s="11">
        <v>3</v>
      </c>
      <c r="G14" s="10" t="s">
        <v>221</v>
      </c>
      <c r="H14" s="10" t="s">
        <v>222</v>
      </c>
      <c r="I14" s="12" t="s">
        <v>271</v>
      </c>
      <c r="J14" s="12" t="s">
        <v>12</v>
      </c>
      <c r="K14" s="13"/>
      <c r="L14" s="13"/>
      <c r="M14" s="12"/>
    </row>
    <row r="15" spans="1:13" ht="73.5" customHeight="1" x14ac:dyDescent="0.3">
      <c r="A15" s="9">
        <v>11</v>
      </c>
      <c r="B15" s="9" t="s">
        <v>223</v>
      </c>
      <c r="C15" s="9" t="s">
        <v>224</v>
      </c>
      <c r="D15" s="10" t="s">
        <v>225</v>
      </c>
      <c r="E15" s="10" t="s">
        <v>226</v>
      </c>
      <c r="F15" s="11">
        <v>9</v>
      </c>
      <c r="G15" s="10" t="s">
        <v>227</v>
      </c>
      <c r="H15" s="10" t="s">
        <v>228</v>
      </c>
      <c r="I15" s="12" t="s">
        <v>271</v>
      </c>
      <c r="J15" s="12" t="s">
        <v>12</v>
      </c>
      <c r="K15" s="13"/>
      <c r="L15" s="13"/>
      <c r="M15" s="12"/>
    </row>
    <row r="16" spans="1:13" ht="73.5" customHeight="1" x14ac:dyDescent="0.3">
      <c r="A16" s="9">
        <v>12</v>
      </c>
      <c r="B16" s="9" t="s">
        <v>173</v>
      </c>
      <c r="C16" s="9" t="s">
        <v>229</v>
      </c>
      <c r="D16" s="10" t="s">
        <v>230</v>
      </c>
      <c r="E16" s="10" t="s">
        <v>231</v>
      </c>
      <c r="F16" s="11">
        <v>3</v>
      </c>
      <c r="G16" s="10" t="s">
        <v>232</v>
      </c>
      <c r="H16" s="10" t="s">
        <v>233</v>
      </c>
      <c r="I16" s="12" t="s">
        <v>271</v>
      </c>
      <c r="J16" s="12" t="s">
        <v>12</v>
      </c>
      <c r="K16" s="13"/>
      <c r="L16" s="13"/>
      <c r="M16" s="12"/>
    </row>
  </sheetData>
  <autoFilter ref="A4:M16" xr:uid="{00000000-0009-0000-0000-000002000000}"/>
  <mergeCells count="2">
    <mergeCell ref="A1:M1"/>
    <mergeCell ref="A2:M2"/>
  </mergeCells>
  <conditionalFormatting sqref="J5:J16">
    <cfRule type="cellIs" dxfId="2" priority="2" operator="equal">
      <formula>"Viable"</formula>
    </cfRule>
    <cfRule type="cellIs" dxfId="1" priority="3" operator="equal">
      <formula>"Inviable"</formula>
    </cfRule>
    <cfRule type="cellIs" dxfId="0" priority="4" operator="equal">
      <formula>"Replantear"</formula>
    </cfRule>
  </conditionalFormatting>
  <dataValidations count="2">
    <dataValidation type="list" allowBlank="1" errorTitle="Concepto no válido" error="Seleccione uno de los tres conceptos de la lista." sqref="J5:J16" xr:uid="{00000000-0002-0000-0200-000000000000}">
      <formula1>"Viable,Inviable,Replantear"</formula1>
      <formula2>0</formula2>
    </dataValidation>
    <dataValidation type="list" allowBlank="1" sqref="I5:I16" xr:uid="{00000000-0002-0000-0200-000001000000}">
      <formula1>"Imprescindible,Importante,Deseable,Fuera de alcance"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tabSelected="1" zoomScaleNormal="100" workbookViewId="0">
      <selection activeCell="H13" sqref="H13"/>
    </sheetView>
  </sheetViews>
  <sheetFormatPr baseColWidth="10" defaultColWidth="8.6640625" defaultRowHeight="14.4" x14ac:dyDescent="0.3"/>
  <cols>
    <col min="1" max="1" width="52" customWidth="1"/>
    <col min="2" max="2" width="22" customWidth="1"/>
    <col min="3" max="3" width="18" customWidth="1"/>
    <col min="4" max="4" width="14" customWidth="1"/>
    <col min="5" max="5" width="26" customWidth="1"/>
  </cols>
  <sheetData>
    <row r="1" spans="1:8" ht="24" customHeight="1" x14ac:dyDescent="0.3">
      <c r="A1" s="26" t="s">
        <v>234</v>
      </c>
      <c r="B1" s="26"/>
      <c r="C1" s="26"/>
      <c r="D1" s="26"/>
      <c r="E1" s="26"/>
    </row>
    <row r="2" spans="1:8" ht="15" customHeight="1" x14ac:dyDescent="0.3">
      <c r="A2" s="27" t="s">
        <v>235</v>
      </c>
      <c r="B2" s="27"/>
      <c r="C2" s="27"/>
      <c r="D2" s="27"/>
      <c r="E2" s="27"/>
    </row>
    <row r="4" spans="1:8" ht="30" customHeight="1" x14ac:dyDescent="0.3">
      <c r="A4" s="8" t="s">
        <v>34</v>
      </c>
      <c r="B4" s="8" t="s">
        <v>236</v>
      </c>
      <c r="C4" s="8" t="s">
        <v>237</v>
      </c>
      <c r="D4" s="8" t="s">
        <v>238</v>
      </c>
      <c r="E4" s="8" t="s">
        <v>239</v>
      </c>
    </row>
    <row r="5" spans="1:8" ht="15" customHeight="1" x14ac:dyDescent="0.3">
      <c r="A5" s="14" t="s">
        <v>12</v>
      </c>
      <c r="B5" s="9">
        <f>COUNTIF(requerimientos!$J$5:$J$31,$A5)</f>
        <v>18</v>
      </c>
      <c r="C5" s="9">
        <f>COUNTIF(no_funcionales!$J$5:$J$16,$A5)</f>
        <v>11</v>
      </c>
      <c r="D5" s="9">
        <f>B5+C5</f>
        <v>29</v>
      </c>
      <c r="E5" s="15">
        <f>IFERROR(D5/$D$9,0)</f>
        <v>0.74358974358974361</v>
      </c>
    </row>
    <row r="6" spans="1:8" ht="15" customHeight="1" x14ac:dyDescent="0.3">
      <c r="A6" s="16" t="s">
        <v>14</v>
      </c>
      <c r="B6" s="9">
        <f>COUNTIF(requerimientos!$J$5:$J$31,$A6)</f>
        <v>0</v>
      </c>
      <c r="C6" s="9">
        <f>COUNTIF(no_funcionales!$J$5:$J$16,$A6)</f>
        <v>1</v>
      </c>
      <c r="D6" s="9">
        <f>B6+C6</f>
        <v>1</v>
      </c>
      <c r="E6" s="15">
        <f>IFERROR(D6/$D$9,0)</f>
        <v>2.564102564102564E-2</v>
      </c>
    </row>
    <row r="7" spans="1:8" ht="15" customHeight="1" x14ac:dyDescent="0.3">
      <c r="A7" s="17" t="s">
        <v>16</v>
      </c>
      <c r="B7" s="9">
        <f>COUNTIF(requerimientos!$J$5:$J$31,$A7)</f>
        <v>9</v>
      </c>
      <c r="C7" s="9">
        <f>COUNTIF(no_funcionales!$J$5:$J$16,$A7)</f>
        <v>0</v>
      </c>
      <c r="D7" s="9">
        <f>B7+C7</f>
        <v>9</v>
      </c>
      <c r="E7" s="15">
        <f>IFERROR(D7/$D$9,0)</f>
        <v>0.23076923076923078</v>
      </c>
    </row>
    <row r="8" spans="1:8" ht="15" customHeight="1" x14ac:dyDescent="0.3">
      <c r="A8" s="18" t="s">
        <v>240</v>
      </c>
      <c r="B8" s="9">
        <f>27-COUNTA(requerimientos!$J$5:$J$31)</f>
        <v>0</v>
      </c>
      <c r="C8" s="9">
        <f>12-COUNTA(no_funcionales!$J$5:$J$16)</f>
        <v>0</v>
      </c>
      <c r="D8" s="9">
        <f>B8+C8</f>
        <v>0</v>
      </c>
      <c r="E8" s="15">
        <f>IFERROR(D8/$D$9,0)</f>
        <v>0</v>
      </c>
    </row>
    <row r="9" spans="1:8" ht="15" customHeight="1" x14ac:dyDescent="0.3">
      <c r="A9" s="19" t="s">
        <v>238</v>
      </c>
      <c r="B9" s="20">
        <f>SUM(B5:B8)</f>
        <v>27</v>
      </c>
      <c r="C9" s="20">
        <f>SUM(C5:C8)</f>
        <v>12</v>
      </c>
      <c r="D9" s="20">
        <f>SUM(D5:D8)</f>
        <v>39</v>
      </c>
      <c r="E9" s="21">
        <f>IFERROR(D9/D9,0)</f>
        <v>1</v>
      </c>
    </row>
    <row r="11" spans="1:8" ht="15" customHeight="1" x14ac:dyDescent="0.3">
      <c r="A11" s="30" t="s">
        <v>241</v>
      </c>
      <c r="B11" s="30"/>
      <c r="C11" s="30"/>
      <c r="D11" s="30"/>
      <c r="E11" s="30"/>
    </row>
    <row r="12" spans="1:8" ht="15" customHeight="1" x14ac:dyDescent="0.3">
      <c r="A12" s="29" t="s">
        <v>242</v>
      </c>
      <c r="B12" s="29"/>
      <c r="C12" s="29"/>
      <c r="D12" s="9">
        <f>D5+D6+D7</f>
        <v>39</v>
      </c>
      <c r="E12" s="22">
        <f>IFERROR(D12/39,0)</f>
        <v>1</v>
      </c>
      <c r="H12" t="s">
        <v>281</v>
      </c>
    </row>
    <row r="13" spans="1:8" ht="15" customHeight="1" x14ac:dyDescent="0.3">
      <c r="A13" s="29" t="s">
        <v>243</v>
      </c>
      <c r="B13" s="29"/>
      <c r="C13" s="29"/>
      <c r="D13" s="9">
        <f>D6+D7</f>
        <v>10</v>
      </c>
      <c r="E13" s="23"/>
    </row>
    <row r="14" spans="1:8" ht="15" customHeight="1" x14ac:dyDescent="0.3">
      <c r="A14" s="29" t="s">
        <v>244</v>
      </c>
      <c r="B14" s="29"/>
      <c r="C14" s="29"/>
      <c r="D14" s="9">
        <f>SUMPRODUCT(((requerimientos!$J$5:$J$31="Inviable")+(requerimientos!$J$5:$J$31="Replantear"))*(requerimientos!$K$5:$K$31=""))+SUMPRODUCT(((no_funcionales!$J$5:$J$16="Inviable")+(no_funcionales!$J$5:$J$16="Replantear"))*(no_funcionales!$K$5:$K$16=""))</f>
        <v>2</v>
      </c>
      <c r="E14" s="23"/>
    </row>
    <row r="16" spans="1:8" ht="15" customHeight="1" x14ac:dyDescent="0.3">
      <c r="A16" s="30" t="s">
        <v>245</v>
      </c>
      <c r="B16" s="30"/>
      <c r="C16" s="30"/>
      <c r="D16" s="30"/>
      <c r="E16" s="30"/>
    </row>
    <row r="17" spans="1:5" ht="15" customHeight="1" x14ac:dyDescent="0.3">
      <c r="A17" s="8" t="s">
        <v>26</v>
      </c>
      <c r="B17" s="8" t="s">
        <v>12</v>
      </c>
      <c r="C17" s="8" t="s">
        <v>14</v>
      </c>
      <c r="D17" s="8" t="s">
        <v>16</v>
      </c>
      <c r="E17" s="8" t="s">
        <v>240</v>
      </c>
    </row>
    <row r="18" spans="1:5" ht="15" customHeight="1" x14ac:dyDescent="0.3">
      <c r="A18" s="20" t="s">
        <v>37</v>
      </c>
      <c r="B18" s="9">
        <f>COUNTIFS(requerimientos!$B$5:$B$31,$A18,requerimientos!$J$5:$J$31,"Viable")</f>
        <v>4</v>
      </c>
      <c r="C18" s="9">
        <f>COUNTIFS(requerimientos!$B$5:$B$31,$A18,requerimientos!$J$5:$J$31,"Inviable")</f>
        <v>0</v>
      </c>
      <c r="D18" s="9">
        <f>COUNTIFS(requerimientos!$B$5:$B$31,$A18,requerimientos!$J$5:$J$31,"Replantear")</f>
        <v>0</v>
      </c>
      <c r="E18" s="9">
        <f>COUNTIF(requerimientos!$B$5:$B$31,$A18)-B18-C18-D18</f>
        <v>0</v>
      </c>
    </row>
    <row r="19" spans="1:5" ht="15" customHeight="1" x14ac:dyDescent="0.3">
      <c r="A19" s="20" t="s">
        <v>57</v>
      </c>
      <c r="B19" s="9">
        <f>COUNTIFS(requerimientos!$B$5:$B$31,$A19,requerimientos!$J$5:$J$31,"Viable")</f>
        <v>3</v>
      </c>
      <c r="C19" s="9">
        <f>COUNTIFS(requerimientos!$B$5:$B$31,$A19,requerimientos!$J$5:$J$31,"Inviable")</f>
        <v>0</v>
      </c>
      <c r="D19" s="9">
        <f>COUNTIFS(requerimientos!$B$5:$B$31,$A19,requerimientos!$J$5:$J$31,"Replantear")</f>
        <v>1</v>
      </c>
      <c r="E19" s="9">
        <f>COUNTIF(requerimientos!$B$5:$B$31,$A19)-B19-C19-D19</f>
        <v>0</v>
      </c>
    </row>
    <row r="20" spans="1:5" ht="15" customHeight="1" x14ac:dyDescent="0.3">
      <c r="A20" s="20" t="s">
        <v>77</v>
      </c>
      <c r="B20" s="9">
        <f>COUNTIFS(requerimientos!$B$5:$B$31,$A20,requerimientos!$J$5:$J$31,"Viable")</f>
        <v>3</v>
      </c>
      <c r="C20" s="9">
        <f>COUNTIFS(requerimientos!$B$5:$B$31,$A20,requerimientos!$J$5:$J$31,"Inviable")</f>
        <v>0</v>
      </c>
      <c r="D20" s="9">
        <f>COUNTIFS(requerimientos!$B$5:$B$31,$A20,requerimientos!$J$5:$J$31,"Replantear")</f>
        <v>1</v>
      </c>
      <c r="E20" s="9">
        <f>COUNTIF(requerimientos!$B$5:$B$31,$A20)-B20-C20-D20</f>
        <v>0</v>
      </c>
    </row>
    <row r="21" spans="1:5" ht="15" customHeight="1" x14ac:dyDescent="0.3">
      <c r="A21" s="20" t="s">
        <v>96</v>
      </c>
      <c r="B21" s="9">
        <f>COUNTIFS(requerimientos!$B$5:$B$31,$A21,requerimientos!$J$5:$J$31,"Viable")</f>
        <v>1</v>
      </c>
      <c r="C21" s="9">
        <f>COUNTIFS(requerimientos!$B$5:$B$31,$A21,requerimientos!$J$5:$J$31,"Inviable")</f>
        <v>0</v>
      </c>
      <c r="D21" s="9">
        <f>COUNTIFS(requerimientos!$B$5:$B$31,$A21,requerimientos!$J$5:$J$31,"Replantear")</f>
        <v>6</v>
      </c>
      <c r="E21" s="9">
        <f>COUNTIF(requerimientos!$B$5:$B$31,$A21)-B21-C21-D21</f>
        <v>0</v>
      </c>
    </row>
    <row r="22" spans="1:5" ht="15" customHeight="1" x14ac:dyDescent="0.3">
      <c r="A22" s="20" t="s">
        <v>124</v>
      </c>
      <c r="B22" s="9">
        <f>COUNTIFS(requerimientos!$B$5:$B$31,$A22,requerimientos!$J$5:$J$31,"Viable")</f>
        <v>4</v>
      </c>
      <c r="C22" s="9">
        <f>COUNTIFS(requerimientos!$B$5:$B$31,$A22,requerimientos!$J$5:$J$31,"Inviable")</f>
        <v>0</v>
      </c>
      <c r="D22" s="9">
        <f>COUNTIFS(requerimientos!$B$5:$B$31,$A22,requerimientos!$J$5:$J$31,"Replantear")</f>
        <v>0</v>
      </c>
      <c r="E22" s="9">
        <f>COUNTIF(requerimientos!$B$5:$B$31,$A22)-B22-C22-D22</f>
        <v>0</v>
      </c>
    </row>
    <row r="23" spans="1:5" ht="15" customHeight="1" x14ac:dyDescent="0.3">
      <c r="A23" s="20" t="s">
        <v>144</v>
      </c>
      <c r="B23" s="9">
        <f>COUNTIFS(requerimientos!$B$5:$B$31,$A23,requerimientos!$J$5:$J$31,"Viable")</f>
        <v>3</v>
      </c>
      <c r="C23" s="9">
        <f>COUNTIFS(requerimientos!$B$5:$B$31,$A23,requerimientos!$J$5:$J$31,"Inviable")</f>
        <v>0</v>
      </c>
      <c r="D23" s="9">
        <f>COUNTIFS(requerimientos!$B$5:$B$31,$A23,requerimientos!$J$5:$J$31,"Replantear")</f>
        <v>1</v>
      </c>
      <c r="E23" s="9">
        <f>COUNTIF(requerimientos!$B$5:$B$31,$A23)-B23-C23-D23</f>
        <v>0</v>
      </c>
    </row>
    <row r="24" spans="1:5" ht="15" customHeight="1" x14ac:dyDescent="0.3">
      <c r="A24" s="27" t="s">
        <v>246</v>
      </c>
      <c r="B24" s="27"/>
      <c r="C24" s="27"/>
      <c r="D24" s="27"/>
      <c r="E24" s="27"/>
    </row>
  </sheetData>
  <mergeCells count="8">
    <mergeCell ref="A14:C14"/>
    <mergeCell ref="A16:E16"/>
    <mergeCell ref="A24:E24"/>
    <mergeCell ref="A1:E1"/>
    <mergeCell ref="A2:E2"/>
    <mergeCell ref="A11:E11"/>
    <mergeCell ref="A12:C12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Normal="100" workbookViewId="0"/>
  </sheetViews>
  <sheetFormatPr baseColWidth="10" defaultColWidth="8.6640625" defaultRowHeight="14.4" x14ac:dyDescent="0.3"/>
  <cols>
    <col min="1" max="1" width="22" customWidth="1"/>
    <col min="2" max="2" width="30" customWidth="1"/>
    <col min="3" max="3" width="34" customWidth="1"/>
    <col min="4" max="4" width="30" customWidth="1"/>
    <col min="5" max="5" width="24" customWidth="1"/>
  </cols>
  <sheetData>
    <row r="1" spans="1:5" ht="15" customHeight="1" x14ac:dyDescent="0.3">
      <c r="A1" s="26" t="s">
        <v>247</v>
      </c>
      <c r="B1" s="26"/>
      <c r="C1" s="26"/>
      <c r="D1" s="26"/>
      <c r="E1" s="26"/>
    </row>
    <row r="2" spans="1:5" ht="15" customHeight="1" x14ac:dyDescent="0.3">
      <c r="A2" s="8" t="s">
        <v>248</v>
      </c>
      <c r="B2" s="8" t="s">
        <v>249</v>
      </c>
      <c r="C2" s="8" t="s">
        <v>250</v>
      </c>
    </row>
    <row r="3" spans="1:5" ht="31.5" customHeight="1" x14ac:dyDescent="0.3">
      <c r="A3" s="9">
        <v>1</v>
      </c>
      <c r="B3" s="9" t="s">
        <v>251</v>
      </c>
      <c r="C3" s="10" t="s">
        <v>252</v>
      </c>
    </row>
    <row r="4" spans="1:5" ht="15" customHeight="1" x14ac:dyDescent="0.3">
      <c r="A4" s="24"/>
      <c r="B4" s="24"/>
      <c r="C4" s="24"/>
    </row>
    <row r="5" spans="1:5" ht="15" customHeight="1" x14ac:dyDescent="0.3">
      <c r="A5" s="24"/>
      <c r="B5" s="24"/>
      <c r="C5" s="24"/>
    </row>
    <row r="8" spans="1:5" ht="15" customHeight="1" x14ac:dyDescent="0.3">
      <c r="A8" s="1"/>
      <c r="B8" s="8" t="s">
        <v>253</v>
      </c>
      <c r="C8" s="8" t="s">
        <v>254</v>
      </c>
      <c r="D8" s="8" t="s">
        <v>255</v>
      </c>
      <c r="E8" s="8" t="s">
        <v>256</v>
      </c>
    </row>
    <row r="9" spans="1:5" ht="30" customHeight="1" x14ac:dyDescent="0.3">
      <c r="A9" s="25" t="s">
        <v>257</v>
      </c>
      <c r="B9" s="13"/>
      <c r="C9" s="13"/>
      <c r="D9" s="13"/>
      <c r="E9" s="13"/>
    </row>
    <row r="10" spans="1:5" ht="30" customHeight="1" x14ac:dyDescent="0.3">
      <c r="A10" s="25" t="s">
        <v>258</v>
      </c>
      <c r="B10" s="10" t="s">
        <v>259</v>
      </c>
      <c r="C10" s="10" t="s">
        <v>260</v>
      </c>
      <c r="D10" s="10" t="s">
        <v>261</v>
      </c>
      <c r="E10" s="10" t="s">
        <v>262</v>
      </c>
    </row>
    <row r="11" spans="1:5" ht="30" customHeight="1" x14ac:dyDescent="0.3">
      <c r="A11" s="25" t="s">
        <v>263</v>
      </c>
      <c r="B11" s="13"/>
      <c r="C11" s="13"/>
      <c r="D11" s="13"/>
      <c r="E11" s="13"/>
    </row>
    <row r="12" spans="1:5" ht="30" customHeight="1" x14ac:dyDescent="0.3">
      <c r="A12" s="25" t="s">
        <v>264</v>
      </c>
      <c r="B12" s="13"/>
      <c r="C12" s="13"/>
      <c r="D12" s="13"/>
      <c r="E12" s="1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requerimientos</vt:lpstr>
      <vt:lpstr>no_funcionales</vt:lpstr>
      <vt:lpstr>resumen</vt:lpstr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Andres Roncancio</cp:lastModifiedBy>
  <cp:revision>0</cp:revision>
  <dcterms:created xsi:type="dcterms:W3CDTF">2026-09-03T20:01:35Z</dcterms:created>
  <dcterms:modified xsi:type="dcterms:W3CDTF">2026-10-13T14:14:41Z</dcterms:modified>
  <dc:language>en-US</dc:language>
</cp:coreProperties>
</file>